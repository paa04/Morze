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380DD5-87E5-439B-80C2-7B4F738D76AD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Таблица задач" sheetId="1" r:id="rId1"/>
    <sheet name="Таблица рисков" sheetId="4" r:id="rId2"/>
    <sheet name="Матрица рисков" sheetId="5" r:id="rId3"/>
  </sheets>
  <definedNames>
    <definedName name="Таблица_задач">'Таблица задач'!$A$1:$H$1</definedName>
    <definedName name="Таблица_назначений">#REF!</definedName>
    <definedName name="Таблица_ресурсо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2" i="4"/>
</calcChain>
</file>

<file path=xl/sharedStrings.xml><?xml version="1.0" encoding="utf-8"?>
<sst xmlns="http://schemas.openxmlformats.org/spreadsheetml/2006/main" count="398" uniqueCount="243">
  <si>
    <t>Ид.</t>
  </si>
  <si>
    <t>Название</t>
  </si>
  <si>
    <t>Длительность</t>
  </si>
  <si>
    <t>Начало</t>
  </si>
  <si>
    <t>Окончание</t>
  </si>
  <si>
    <t>Предшественники</t>
  </si>
  <si>
    <t>Уровень структуры</t>
  </si>
  <si>
    <t>55 дней</t>
  </si>
  <si>
    <t>16 Февраль 2026 9:00</t>
  </si>
  <si>
    <t>01 Май 2026 18:00</t>
  </si>
  <si>
    <t>0 дней</t>
  </si>
  <si>
    <t>Собрания</t>
  </si>
  <si>
    <t>53,25 дней</t>
  </si>
  <si>
    <t>30 Апрель 2026 11:00</t>
  </si>
  <si>
    <t>Собрания 0</t>
  </si>
  <si>
    <t>2 ч</t>
  </si>
  <si>
    <t>16 Февраль 2026 11:00</t>
  </si>
  <si>
    <t>Собрания 1</t>
  </si>
  <si>
    <t>19 Февраль 2026 9:00</t>
  </si>
  <si>
    <t>19 Февраль 2026 11:00</t>
  </si>
  <si>
    <t>Собрания 2</t>
  </si>
  <si>
    <t>26 Февраль 2026 9:00</t>
  </si>
  <si>
    <t>26 Февраль 2026 11:00</t>
  </si>
  <si>
    <t>Собрания 3</t>
  </si>
  <si>
    <t>05 Март 2026 9:00</t>
  </si>
  <si>
    <t>05 Март 2026 11:00</t>
  </si>
  <si>
    <t>Собрания 4</t>
  </si>
  <si>
    <t>12 Март 2026 9:00</t>
  </si>
  <si>
    <t>12 Март 2026 11:00</t>
  </si>
  <si>
    <t>Собрания 5</t>
  </si>
  <si>
    <t>19 Март 2026 9:00</t>
  </si>
  <si>
    <t>19 Март 2026 11:00</t>
  </si>
  <si>
    <t>Собрания 6</t>
  </si>
  <si>
    <t>26 Март 2026 9:00</t>
  </si>
  <si>
    <t>26 Март 2026 11:00</t>
  </si>
  <si>
    <t>Собрания 7</t>
  </si>
  <si>
    <t>02 Апрель 2026 9:00</t>
  </si>
  <si>
    <t>02 Апрель 2026 11:00</t>
  </si>
  <si>
    <t>Собрания 8</t>
  </si>
  <si>
    <t>09 Апрель 2026 9:00</t>
  </si>
  <si>
    <t>09 Апрель 2026 11:00</t>
  </si>
  <si>
    <t>Собрания 9</t>
  </si>
  <si>
    <t>16 Апрель 2026 9:00</t>
  </si>
  <si>
    <t>16 Апрель 2026 11:00</t>
  </si>
  <si>
    <t>Собрания 10</t>
  </si>
  <si>
    <t>23 Апрель 2026 9:00</t>
  </si>
  <si>
    <t>23 Апрель 2026 11:00</t>
  </si>
  <si>
    <t>Собрания 11</t>
  </si>
  <si>
    <t>30 Апрель 2026 9:00</t>
  </si>
  <si>
    <t>15</t>
  </si>
  <si>
    <t>Предварительное планирование</t>
  </si>
  <si>
    <t>5 дней</t>
  </si>
  <si>
    <t>20 Февраль 2026 18:00</t>
  </si>
  <si>
    <t>Генерация идей</t>
  </si>
  <si>
    <t>Выбор архитектуры проекта</t>
  </si>
  <si>
    <t>Настройка Github</t>
  </si>
  <si>
    <t>Настройка Jira</t>
  </si>
  <si>
    <t>20</t>
  </si>
  <si>
    <t>Проектирование</t>
  </si>
  <si>
    <t>15 дней</t>
  </si>
  <si>
    <t>02 Март 2026 9:00</t>
  </si>
  <si>
    <t>20 Март 2026 18:00</t>
  </si>
  <si>
    <t>15;32</t>
  </si>
  <si>
    <t>Выбор средств реализации</t>
  </si>
  <si>
    <t>Сервер</t>
  </si>
  <si>
    <t>23</t>
  </si>
  <si>
    <t>time диаграмма сервера</t>
  </si>
  <si>
    <t>06 Март 2026 18:00</t>
  </si>
  <si>
    <t>24</t>
  </si>
  <si>
    <t>БД relay-signaling сервера</t>
  </si>
  <si>
    <t>09 Март 2026 9:00</t>
  </si>
  <si>
    <t>13 Март 2026 18:00</t>
  </si>
  <si>
    <t>Диаграмма классов сервера</t>
  </si>
  <si>
    <t>16 Март 2026 9:00</t>
  </si>
  <si>
    <t>Клиент</t>
  </si>
  <si>
    <t>27</t>
  </si>
  <si>
    <t>use-case клиента</t>
  </si>
  <si>
    <t>28</t>
  </si>
  <si>
    <t>БД клиентского приложения</t>
  </si>
  <si>
    <t>Дизайн ui клиента</t>
  </si>
  <si>
    <t>Диаграмма классов клиента</t>
  </si>
  <si>
    <t>Документация</t>
  </si>
  <si>
    <t>45 дней</t>
  </si>
  <si>
    <t>23 Февраль 2026 9:00</t>
  </si>
  <si>
    <t>24 Апрель 2026 18:00</t>
  </si>
  <si>
    <t>32</t>
  </si>
  <si>
    <t>Написание ТЗ</t>
  </si>
  <si>
    <t>27 Февраль 2026 18:00</t>
  </si>
  <si>
    <t>33</t>
  </si>
  <si>
    <t>Составление плана проекта</t>
  </si>
  <si>
    <t>PERT диаграмма</t>
  </si>
  <si>
    <t>3 дней</t>
  </si>
  <si>
    <t>11 Март 2026 18:00</t>
  </si>
  <si>
    <t>Таблица рисков</t>
  </si>
  <si>
    <t>n8n</t>
  </si>
  <si>
    <t>p3express</t>
  </si>
  <si>
    <t>12 факторов</t>
  </si>
  <si>
    <t>Документация(?)</t>
  </si>
  <si>
    <t>25 дней</t>
  </si>
  <si>
    <t>23 Март 2026 9:00</t>
  </si>
  <si>
    <t>40НН</t>
  </si>
  <si>
    <t>Разработка</t>
  </si>
  <si>
    <t>20 дней</t>
  </si>
  <si>
    <t>17 Апрель 2026 18:00</t>
  </si>
  <si>
    <t>42</t>
  </si>
  <si>
    <t>Реализация БД сервера</t>
  </si>
  <si>
    <t>4 дней</t>
  </si>
  <si>
    <t>26 Март 2026 18:00</t>
  </si>
  <si>
    <t>43</t>
  </si>
  <si>
    <t>Репозитории сервера</t>
  </si>
  <si>
    <t>27 Март 2026 9:00</t>
  </si>
  <si>
    <t>01 Апрель 2026 18:00</t>
  </si>
  <si>
    <t>44</t>
  </si>
  <si>
    <t>Сервисы сервера</t>
  </si>
  <si>
    <t>07 Апрель 2026 18:00</t>
  </si>
  <si>
    <t>45</t>
  </si>
  <si>
    <t>API сервера</t>
  </si>
  <si>
    <t>08 Апрель 2026 9:00</t>
  </si>
  <si>
    <t>13 Апрель 2026 18:00</t>
  </si>
  <si>
    <t>Тестирование</t>
  </si>
  <si>
    <t>14 Апрель 2026 9:00</t>
  </si>
  <si>
    <t>48</t>
  </si>
  <si>
    <t>Реализация БД клиента</t>
  </si>
  <si>
    <t>49</t>
  </si>
  <si>
    <t>Репозитории клиента</t>
  </si>
  <si>
    <t>50</t>
  </si>
  <si>
    <t>Сервисы клиента</t>
  </si>
  <si>
    <t>51</t>
  </si>
  <si>
    <t>API клиента</t>
  </si>
  <si>
    <t>Тестирование без UI</t>
  </si>
  <si>
    <t>UI клиента</t>
  </si>
  <si>
    <t>10 дней</t>
  </si>
  <si>
    <t>03 Апрель 2026 18:00</t>
  </si>
  <si>
    <t>Тестирование с UI</t>
  </si>
  <si>
    <t>53;51</t>
  </si>
  <si>
    <t>Интеграционное тестирование</t>
  </si>
  <si>
    <t>20 Апрель 2026 9:00</t>
  </si>
  <si>
    <t>41;47</t>
  </si>
  <si>
    <t>56</t>
  </si>
  <si>
    <t>Сдача</t>
  </si>
  <si>
    <t>27 Апрель 2026 9:00</t>
  </si>
  <si>
    <t>31;40</t>
  </si>
  <si>
    <t>Конец</t>
  </si>
  <si>
    <t>ID</t>
  </si>
  <si>
    <t>Риск</t>
  </si>
  <si>
    <t>Этап</t>
  </si>
  <si>
    <t>Вероятность (1–5)</t>
  </si>
  <si>
    <t>Влияние (1–5)</t>
  </si>
  <si>
    <t>Приоритет = P×I</t>
  </si>
  <si>
    <t>Признак/триггер</t>
  </si>
  <si>
    <t>Что делаем заранее</t>
  </si>
  <si>
    <t>План реакции</t>
  </si>
  <si>
    <t>Ответственный</t>
  </si>
  <si>
    <t>Статус</t>
  </si>
  <si>
    <t>R1</t>
  </si>
  <si>
    <t>Задержка выбора архитектуры проекта</t>
  </si>
  <si>
    <t>Нет утвержденной схемы к концу 1-й недели</t>
  </si>
  <si>
    <t>Утвердить архитектуру отдельной встречей, заморозить базовые решения</t>
  </si>
  <si>
    <t>Сократить объем 1-й итерации, принять временное решение</t>
  </si>
  <si>
    <t>Открыт</t>
  </si>
  <si>
    <t>R2</t>
  </si>
  <si>
    <t>Проблемы с настройкой GitHub/Jira</t>
  </si>
  <si>
    <t>Нет репозитория, нет борда задач</t>
  </si>
  <si>
    <t>Настроить в первый день, сделать чек-лист доступа</t>
  </si>
  <si>
    <t>Вести задачи временно в Excel/Notion</t>
  </si>
  <si>
    <t>R3</t>
  </si>
  <si>
    <t>Ошибка в проектировании БД relay-signaling сервера</t>
  </si>
  <si>
    <t>Проектирование / Сервер</t>
  </si>
  <si>
    <t>Частые изменения схемы, не закрыты сущности</t>
  </si>
  <si>
    <t>Провести ревью ER/классовой диаграммы до разработки</t>
  </si>
  <si>
    <t>Переделка схемы с миграциями, заморозка API</t>
  </si>
  <si>
    <t>R4</t>
  </si>
  <si>
    <t>Неполное описание use-case клиента</t>
  </si>
  <si>
    <t>Проектирование / Клиент</t>
  </si>
  <si>
    <t>Появляются новые сценарии уже в разработке</t>
  </si>
  <si>
    <t>Согласовать use-case и UI-экраны до кодинга</t>
  </si>
  <si>
    <t>Перенести второстепенные сценарии в backlog</t>
  </si>
  <si>
    <t>R5</t>
  </si>
  <si>
    <t>Задержка UI-дизайна клиента</t>
  </si>
  <si>
    <t>Нет макетов к началу UI-реализации</t>
  </si>
  <si>
    <t>Сделать wireframe заранее, утвердить минимальный UI</t>
  </si>
  <si>
    <t>Делать технический UI без финального дизайна</t>
  </si>
  <si>
    <t>R6</t>
  </si>
  <si>
    <t>Несовместимость API сервера и клиента</t>
  </si>
  <si>
    <t>Разработка / Интеграция</t>
  </si>
  <si>
    <t>Swagger/контракт расходится с реализацией</t>
  </si>
  <si>
    <t>Зафиксировать API-контракт, использовать mock и swagger</t>
  </si>
  <si>
    <t>Срочный hotfix API/adapter-слой</t>
  </si>
  <si>
    <t>Критичный</t>
  </si>
  <si>
    <t>R7</t>
  </si>
  <si>
    <t>Интеграционное тестирование выявит критические дефекты поздно</t>
  </si>
  <si>
    <t>Много багов на этапе сборки модулей</t>
  </si>
  <si>
    <t>Начать smoke-тесты раньше, проверять по частям</t>
  </si>
  <si>
    <t>Резерв 2–3 дня на исправления</t>
  </si>
  <si>
    <t>R8</t>
  </si>
  <si>
    <t>Недостаточное покрытие тестами без UI / с UI</t>
  </si>
  <si>
    <t>Нет тест-кейсов, тесты не автоматизированы</t>
  </si>
  <si>
    <t>Подготовить чек-листы и smoke-набор заранее</t>
  </si>
  <si>
    <t>Сфокусироваться на критических сценариях</t>
  </si>
  <si>
    <t>R9</t>
  </si>
  <si>
    <t>Документация не готова к сдаче</t>
  </si>
  <si>
    <t>ТЗ, PERT, риски, 12 факторов ведутся в конце</t>
  </si>
  <si>
    <t>Писать документы параллельно разработке</t>
  </si>
  <si>
    <t>Выделить отдельный день на финальную сборку документации</t>
  </si>
  <si>
    <t>R10</t>
  </si>
  <si>
    <t>Изменение требований в середине разработки</t>
  </si>
  <si>
    <t>Весь проект</t>
  </si>
  <si>
    <t>Появляются новые обязательные функции</t>
  </si>
  <si>
    <t>Зафиксировать scope и порядок change request</t>
  </si>
  <si>
    <t>Исключить низкоприоритетные функции</t>
  </si>
  <si>
    <t>R11</t>
  </si>
  <si>
    <t>Отставание по серверной разработке тянет клиент</t>
  </si>
  <si>
    <t>Клиент ждет готовый API</t>
  </si>
  <si>
    <t>Использовать mock API, согласовать контракт заранее</t>
  </si>
  <si>
    <t>Переставить задачи фронта на UI и локальную логику</t>
  </si>
  <si>
    <t>R12</t>
  </si>
  <si>
    <t>Не хватает резерва перед этапом “Сдача”</t>
  </si>
  <si>
    <t>Финал проекта</t>
  </si>
  <si>
    <t>Все задачи закрываются впритык</t>
  </si>
  <si>
    <t>Добавить буфер 2–3 дня до сдачи</t>
  </si>
  <si>
    <t>Сократить нефункциональные доработки</t>
  </si>
  <si>
    <t xml:space="preserve"> </t>
  </si>
  <si>
    <t>Вероятность \ Влияние</t>
  </si>
  <si>
    <t>Редко</t>
  </si>
  <si>
    <t>Вряд ли</t>
  </si>
  <si>
    <t>Возможно</t>
  </si>
  <si>
    <t>Вероятно</t>
  </si>
  <si>
    <t>Крайне вероятно</t>
  </si>
  <si>
    <t>Тривиально</t>
  </si>
  <si>
    <t>Минимальное</t>
  </si>
  <si>
    <t>Ощутимое</t>
  </si>
  <si>
    <t>Чрезвычайное</t>
  </si>
  <si>
    <t>Большое</t>
  </si>
  <si>
    <t>Morze</t>
  </si>
  <si>
    <t>Стратегия</t>
  </si>
  <si>
    <t>Избежание</t>
  </si>
  <si>
    <t>Снижение</t>
  </si>
  <si>
    <t>Парфенов А.</t>
  </si>
  <si>
    <t>Гареев Г.</t>
  </si>
  <si>
    <t>Бугаков И.</t>
  </si>
  <si>
    <t>Парфенов А., Гареев Г.</t>
  </si>
  <si>
    <t>Парфенов А., Гареев Г., Бугаков И.</t>
  </si>
  <si>
    <t>Гареев Г., Бугаков 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</si>
</sst>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R9&quot;"/>
    <numFmt numFmtId="165" formatCode="&quot;&quot;"/>
    <numFmt numFmtId="166" formatCode="&quot;R5&quot;"/>
    <numFmt numFmtId="167" formatCode="&quot;R6&quot;"/>
    <numFmt numFmtId="168" formatCode="&quot;R4, R8, R11&quot;"/>
    <numFmt numFmtId="169" formatCode="&quot;R1, R3, R7, R10&quot;"/>
    <numFmt numFmtId="170" formatCode="&quot;R12&quot;"/>
    <numFmt numFmtId="171" formatCode="&quot;&quot;\R\2&quot;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">
    <dxf>
      <fill>
        <gradientFill degree="315">
          <stop position="0">
            <color rgb="FF92D050"/>
          </stop>
          <stop position="1">
            <color rgb="FFFF0000"/>
          </stop>
        </gradientFill>
      </fill>
    </dxf>
  </dxfs>
  <tableStyles count="1" defaultTableStyle="TableStyleMedium9" defaultPivotStyle="PivotStyleLight16">
    <tableStyle name="Стиль таблицы 1" pivot="0" count="1" xr9:uid="{A0C17F4B-6FBD-4753-A148-AE311B7CFE70}">
      <tableStyleElement type="wholeTable" dxfId="0"/>
    </tableStyle>
  </tableStyles>
  <colors>
    <mruColors>
      <color rgb="FFF8696B"/>
      <color rgb="FF63BE7B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workbookViewId="0">
      <selection activeCell="I11" sqref="I11"/>
    </sheetView>
  </sheetViews>
  <sheetFormatPr defaultRowHeight="14.4" x14ac:dyDescent="0.3"/>
  <cols>
    <col min="1" max="1" width="4" bestFit="1" customWidth="1"/>
    <col min="2" max="2" width="29.88671875" bestFit="1" customWidth="1"/>
    <col min="3" max="3" width="12.88671875" bestFit="1" customWidth="1"/>
    <col min="4" max="4" width="19.44140625" bestFit="1" customWidth="1"/>
    <col min="5" max="5" width="20.44140625" bestFit="1" customWidth="1"/>
    <col min="6" max="6" width="16.88671875" bestFit="1" customWidth="1"/>
    <col min="7" max="7" width="17.33203125" style="14" bestFit="1" customWidth="1"/>
  </cols>
  <sheetData>
    <row r="1" spans="1:7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6" t="s">
        <v>6</v>
      </c>
    </row>
    <row r="2" spans="1:7" x14ac:dyDescent="0.3">
      <c r="A2" s="18">
        <v>0</v>
      </c>
      <c r="B2" s="19" t="s">
        <v>233</v>
      </c>
      <c r="C2" t="s">
        <v>7</v>
      </c>
      <c r="D2" t="s">
        <v>8</v>
      </c>
      <c r="E2" t="s">
        <v>9</v>
      </c>
      <c r="G2" s="14">
        <v>0</v>
      </c>
    </row>
    <row r="3" spans="1:7" x14ac:dyDescent="0.3">
      <c r="A3" s="18">
        <v>1</v>
      </c>
      <c r="B3" t="s">
        <v>3</v>
      </c>
      <c r="C3" t="s">
        <v>10</v>
      </c>
      <c r="D3" t="s">
        <v>8</v>
      </c>
      <c r="E3" t="s">
        <v>8</v>
      </c>
      <c r="G3" s="15">
        <v>1</v>
      </c>
    </row>
    <row r="4" spans="1:7" x14ac:dyDescent="0.3">
      <c r="A4" s="18">
        <v>2</v>
      </c>
      <c r="B4" t="s">
        <v>11</v>
      </c>
      <c r="C4" t="s">
        <v>12</v>
      </c>
      <c r="D4" t="s">
        <v>8</v>
      </c>
      <c r="E4" t="s">
        <v>13</v>
      </c>
      <c r="G4" s="15">
        <v>1</v>
      </c>
    </row>
    <row r="5" spans="1:7" x14ac:dyDescent="0.3">
      <c r="A5" s="18">
        <v>3</v>
      </c>
      <c r="B5" t="s">
        <v>14</v>
      </c>
      <c r="C5" t="s">
        <v>15</v>
      </c>
      <c r="D5" t="s">
        <v>8</v>
      </c>
      <c r="E5" t="s">
        <v>16</v>
      </c>
      <c r="G5" s="15">
        <v>2</v>
      </c>
    </row>
    <row r="6" spans="1:7" x14ac:dyDescent="0.3">
      <c r="A6" s="18">
        <v>4</v>
      </c>
      <c r="B6" t="s">
        <v>17</v>
      </c>
      <c r="C6" t="s">
        <v>15</v>
      </c>
      <c r="D6" t="s">
        <v>18</v>
      </c>
      <c r="E6" t="s">
        <v>19</v>
      </c>
      <c r="G6" s="15">
        <v>2</v>
      </c>
    </row>
    <row r="7" spans="1:7" x14ac:dyDescent="0.3">
      <c r="A7" s="18">
        <v>5</v>
      </c>
      <c r="B7" t="s">
        <v>20</v>
      </c>
      <c r="C7" t="s">
        <v>15</v>
      </c>
      <c r="D7" t="s">
        <v>21</v>
      </c>
      <c r="E7" t="s">
        <v>22</v>
      </c>
      <c r="G7" s="15">
        <v>2</v>
      </c>
    </row>
    <row r="8" spans="1:7" x14ac:dyDescent="0.3">
      <c r="A8" s="18">
        <v>6</v>
      </c>
      <c r="B8" t="s">
        <v>23</v>
      </c>
      <c r="C8" t="s">
        <v>15</v>
      </c>
      <c r="D8" t="s">
        <v>24</v>
      </c>
      <c r="E8" t="s">
        <v>25</v>
      </c>
      <c r="G8" s="15">
        <v>2</v>
      </c>
    </row>
    <row r="9" spans="1:7" x14ac:dyDescent="0.3">
      <c r="A9" s="18">
        <v>7</v>
      </c>
      <c r="B9" t="s">
        <v>26</v>
      </c>
      <c r="C9" t="s">
        <v>15</v>
      </c>
      <c r="D9" t="s">
        <v>27</v>
      </c>
      <c r="E9" t="s">
        <v>28</v>
      </c>
      <c r="G9" s="15">
        <v>2</v>
      </c>
    </row>
    <row r="10" spans="1:7" x14ac:dyDescent="0.3">
      <c r="A10" s="18">
        <v>8</v>
      </c>
      <c r="B10" t="s">
        <v>29</v>
      </c>
      <c r="C10" t="s">
        <v>15</v>
      </c>
      <c r="D10" t="s">
        <v>30</v>
      </c>
      <c r="E10" t="s">
        <v>31</v>
      </c>
      <c r="G10" s="15">
        <v>2</v>
      </c>
    </row>
    <row r="11" spans="1:7" x14ac:dyDescent="0.3">
      <c r="A11" s="18">
        <v>9</v>
      </c>
      <c r="B11" t="s">
        <v>32</v>
      </c>
      <c r="C11" t="s">
        <v>15</v>
      </c>
      <c r="D11" t="s">
        <v>33</v>
      </c>
      <c r="E11" t="s">
        <v>34</v>
      </c>
      <c r="G11" s="15">
        <v>2</v>
      </c>
    </row>
    <row r="12" spans="1:7" x14ac:dyDescent="0.3">
      <c r="A12" s="18">
        <v>10</v>
      </c>
      <c r="B12" t="s">
        <v>35</v>
      </c>
      <c r="C12" t="s">
        <v>15</v>
      </c>
      <c r="D12" t="s">
        <v>36</v>
      </c>
      <c r="E12" t="s">
        <v>37</v>
      </c>
      <c r="G12" s="15">
        <v>2</v>
      </c>
    </row>
    <row r="13" spans="1:7" x14ac:dyDescent="0.3">
      <c r="A13" s="18">
        <v>11</v>
      </c>
      <c r="B13" t="s">
        <v>38</v>
      </c>
      <c r="C13" t="s">
        <v>15</v>
      </c>
      <c r="D13" t="s">
        <v>39</v>
      </c>
      <c r="E13" t="s">
        <v>40</v>
      </c>
      <c r="G13" s="15">
        <v>2</v>
      </c>
    </row>
    <row r="14" spans="1:7" x14ac:dyDescent="0.3">
      <c r="A14" s="18">
        <v>12</v>
      </c>
      <c r="B14" t="s">
        <v>41</v>
      </c>
      <c r="C14" t="s">
        <v>15</v>
      </c>
      <c r="D14" t="s">
        <v>42</v>
      </c>
      <c r="E14" t="s">
        <v>43</v>
      </c>
      <c r="G14" s="15">
        <v>2</v>
      </c>
    </row>
    <row r="15" spans="1:7" x14ac:dyDescent="0.3">
      <c r="A15" s="18">
        <v>13</v>
      </c>
      <c r="B15" t="s">
        <v>44</v>
      </c>
      <c r="C15" t="s">
        <v>15</v>
      </c>
      <c r="D15" t="s">
        <v>45</v>
      </c>
      <c r="E15" t="s">
        <v>46</v>
      </c>
      <c r="G15" s="15">
        <v>2</v>
      </c>
    </row>
    <row r="16" spans="1:7" x14ac:dyDescent="0.3">
      <c r="A16" s="18">
        <v>14</v>
      </c>
      <c r="B16" t="s">
        <v>47</v>
      </c>
      <c r="C16" t="s">
        <v>15</v>
      </c>
      <c r="D16" t="s">
        <v>48</v>
      </c>
      <c r="E16" t="s">
        <v>13</v>
      </c>
      <c r="G16" s="15">
        <v>2</v>
      </c>
    </row>
    <row r="17" spans="1:7" x14ac:dyDescent="0.3">
      <c r="A17" s="18">
        <v>15</v>
      </c>
      <c r="B17" t="s">
        <v>50</v>
      </c>
      <c r="C17" t="s">
        <v>51</v>
      </c>
      <c r="D17" t="s">
        <v>8</v>
      </c>
      <c r="E17" t="s">
        <v>52</v>
      </c>
      <c r="G17" s="15">
        <v>1</v>
      </c>
    </row>
    <row r="18" spans="1:7" x14ac:dyDescent="0.3">
      <c r="A18" s="18">
        <v>16</v>
      </c>
      <c r="B18" t="s">
        <v>53</v>
      </c>
      <c r="C18" t="s">
        <v>51</v>
      </c>
      <c r="D18" t="s">
        <v>8</v>
      </c>
      <c r="E18" t="s">
        <v>52</v>
      </c>
      <c r="G18" s="15">
        <v>2</v>
      </c>
    </row>
    <row r="19" spans="1:7" x14ac:dyDescent="0.3">
      <c r="A19" s="18">
        <v>17</v>
      </c>
      <c r="B19" t="s">
        <v>54</v>
      </c>
      <c r="C19" t="s">
        <v>51</v>
      </c>
      <c r="D19" t="s">
        <v>8</v>
      </c>
      <c r="E19" t="s">
        <v>52</v>
      </c>
      <c r="G19" s="15">
        <v>2</v>
      </c>
    </row>
    <row r="20" spans="1:7" x14ac:dyDescent="0.3">
      <c r="A20" s="18">
        <v>18</v>
      </c>
      <c r="B20" t="s">
        <v>55</v>
      </c>
      <c r="C20" t="s">
        <v>51</v>
      </c>
      <c r="D20" t="s">
        <v>8</v>
      </c>
      <c r="E20" t="s">
        <v>52</v>
      </c>
      <c r="G20" s="15">
        <v>2</v>
      </c>
    </row>
    <row r="21" spans="1:7" x14ac:dyDescent="0.3">
      <c r="A21" s="18">
        <v>19</v>
      </c>
      <c r="B21" t="s">
        <v>56</v>
      </c>
      <c r="C21" t="s">
        <v>51</v>
      </c>
      <c r="D21" t="s">
        <v>8</v>
      </c>
      <c r="E21" t="s">
        <v>52</v>
      </c>
      <c r="G21" s="15">
        <v>2</v>
      </c>
    </row>
    <row r="22" spans="1:7" x14ac:dyDescent="0.3">
      <c r="A22" s="18">
        <v>20</v>
      </c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s="15">
        <v>1</v>
      </c>
    </row>
    <row r="23" spans="1:7" x14ac:dyDescent="0.3">
      <c r="A23" s="18">
        <v>21</v>
      </c>
      <c r="B23" t="s">
        <v>63</v>
      </c>
      <c r="C23" t="s">
        <v>59</v>
      </c>
      <c r="D23" t="s">
        <v>60</v>
      </c>
      <c r="E23" t="s">
        <v>61</v>
      </c>
      <c r="G23" s="15">
        <v>2</v>
      </c>
    </row>
    <row r="24" spans="1:7" x14ac:dyDescent="0.3">
      <c r="A24" s="18">
        <v>22</v>
      </c>
      <c r="B24" t="s">
        <v>64</v>
      </c>
      <c r="C24" t="s">
        <v>59</v>
      </c>
      <c r="D24" t="s">
        <v>60</v>
      </c>
      <c r="E24" t="s">
        <v>61</v>
      </c>
      <c r="G24" s="15">
        <v>2</v>
      </c>
    </row>
    <row r="25" spans="1:7" x14ac:dyDescent="0.3">
      <c r="A25" s="18">
        <v>23</v>
      </c>
      <c r="B25" t="s">
        <v>66</v>
      </c>
      <c r="C25" t="s">
        <v>51</v>
      </c>
      <c r="D25" t="s">
        <v>60</v>
      </c>
      <c r="E25" t="s">
        <v>67</v>
      </c>
      <c r="G25" s="15">
        <v>3</v>
      </c>
    </row>
    <row r="26" spans="1:7" x14ac:dyDescent="0.3">
      <c r="A26" s="18">
        <v>24</v>
      </c>
      <c r="B26" t="s">
        <v>69</v>
      </c>
      <c r="C26" t="s">
        <v>51</v>
      </c>
      <c r="D26" t="s">
        <v>70</v>
      </c>
      <c r="E26" t="s">
        <v>71</v>
      </c>
      <c r="F26" t="s">
        <v>65</v>
      </c>
      <c r="G26" s="15">
        <v>3</v>
      </c>
    </row>
    <row r="27" spans="1:7" x14ac:dyDescent="0.3">
      <c r="A27" s="18">
        <v>25</v>
      </c>
      <c r="B27" t="s">
        <v>72</v>
      </c>
      <c r="C27" t="s">
        <v>51</v>
      </c>
      <c r="D27" t="s">
        <v>73</v>
      </c>
      <c r="E27" t="s">
        <v>61</v>
      </c>
      <c r="F27" t="s">
        <v>68</v>
      </c>
      <c r="G27" s="15">
        <v>3</v>
      </c>
    </row>
    <row r="28" spans="1:7" x14ac:dyDescent="0.3">
      <c r="A28" s="18">
        <v>26</v>
      </c>
      <c r="B28" t="s">
        <v>74</v>
      </c>
      <c r="C28" t="s">
        <v>59</v>
      </c>
      <c r="D28" t="s">
        <v>60</v>
      </c>
      <c r="E28" t="s">
        <v>61</v>
      </c>
      <c r="G28" s="15">
        <v>2</v>
      </c>
    </row>
    <row r="29" spans="1:7" x14ac:dyDescent="0.3">
      <c r="A29" s="18">
        <v>27</v>
      </c>
      <c r="B29" t="s">
        <v>76</v>
      </c>
      <c r="C29" t="s">
        <v>51</v>
      </c>
      <c r="D29" t="s">
        <v>60</v>
      </c>
      <c r="E29" t="s">
        <v>67</v>
      </c>
      <c r="G29" s="15">
        <v>3</v>
      </c>
    </row>
    <row r="30" spans="1:7" x14ac:dyDescent="0.3">
      <c r="A30" s="18">
        <v>28</v>
      </c>
      <c r="B30" t="s">
        <v>78</v>
      </c>
      <c r="C30" t="s">
        <v>51</v>
      </c>
      <c r="D30" t="s">
        <v>70</v>
      </c>
      <c r="E30" t="s">
        <v>71</v>
      </c>
      <c r="F30" t="s">
        <v>75</v>
      </c>
      <c r="G30" s="15">
        <v>3</v>
      </c>
    </row>
    <row r="31" spans="1:7" x14ac:dyDescent="0.3">
      <c r="A31" s="18">
        <v>29</v>
      </c>
      <c r="B31" t="s">
        <v>79</v>
      </c>
      <c r="C31" t="s">
        <v>51</v>
      </c>
      <c r="D31" t="s">
        <v>70</v>
      </c>
      <c r="E31" t="s">
        <v>71</v>
      </c>
      <c r="F31" t="s">
        <v>75</v>
      </c>
      <c r="G31" s="15">
        <v>3</v>
      </c>
    </row>
    <row r="32" spans="1:7" x14ac:dyDescent="0.3">
      <c r="A32" s="18">
        <v>30</v>
      </c>
      <c r="B32" t="s">
        <v>80</v>
      </c>
      <c r="C32" t="s">
        <v>51</v>
      </c>
      <c r="D32" t="s">
        <v>73</v>
      </c>
      <c r="E32" t="s">
        <v>61</v>
      </c>
      <c r="F32" t="s">
        <v>77</v>
      </c>
      <c r="G32" s="15">
        <v>3</v>
      </c>
    </row>
    <row r="33" spans="1:7" x14ac:dyDescent="0.3">
      <c r="A33" s="18">
        <v>31</v>
      </c>
      <c r="B33" t="s">
        <v>81</v>
      </c>
      <c r="C33" t="s">
        <v>82</v>
      </c>
      <c r="D33" t="s">
        <v>83</v>
      </c>
      <c r="E33" t="s">
        <v>84</v>
      </c>
      <c r="F33" t="s">
        <v>49</v>
      </c>
      <c r="G33" s="15">
        <v>1</v>
      </c>
    </row>
    <row r="34" spans="1:7" x14ac:dyDescent="0.3">
      <c r="A34" s="18">
        <v>32</v>
      </c>
      <c r="B34" t="s">
        <v>86</v>
      </c>
      <c r="C34" t="s">
        <v>51</v>
      </c>
      <c r="D34" t="s">
        <v>83</v>
      </c>
      <c r="E34" t="s">
        <v>87</v>
      </c>
      <c r="G34" s="15">
        <v>2</v>
      </c>
    </row>
    <row r="35" spans="1:7" x14ac:dyDescent="0.3">
      <c r="A35" s="18">
        <v>33</v>
      </c>
      <c r="B35" t="s">
        <v>89</v>
      </c>
      <c r="C35" t="s">
        <v>51</v>
      </c>
      <c r="D35" t="s">
        <v>60</v>
      </c>
      <c r="E35" t="s">
        <v>67</v>
      </c>
      <c r="F35" t="s">
        <v>85</v>
      </c>
      <c r="G35" s="15">
        <v>2</v>
      </c>
    </row>
    <row r="36" spans="1:7" x14ac:dyDescent="0.3">
      <c r="A36" s="18">
        <v>34</v>
      </c>
      <c r="B36" t="s">
        <v>90</v>
      </c>
      <c r="C36" t="s">
        <v>91</v>
      </c>
      <c r="D36" t="s">
        <v>70</v>
      </c>
      <c r="E36" t="s">
        <v>92</v>
      </c>
      <c r="F36" t="s">
        <v>88</v>
      </c>
      <c r="G36" s="15">
        <v>2</v>
      </c>
    </row>
    <row r="37" spans="1:7" x14ac:dyDescent="0.3">
      <c r="A37" s="18">
        <v>35</v>
      </c>
      <c r="B37" t="s">
        <v>93</v>
      </c>
      <c r="C37" t="s">
        <v>91</v>
      </c>
      <c r="D37" t="s">
        <v>70</v>
      </c>
      <c r="E37" t="s">
        <v>92</v>
      </c>
      <c r="F37" t="s">
        <v>88</v>
      </c>
      <c r="G37" s="15">
        <v>2</v>
      </c>
    </row>
    <row r="38" spans="1:7" x14ac:dyDescent="0.3">
      <c r="A38" s="18">
        <v>36</v>
      </c>
      <c r="B38" t="s">
        <v>94</v>
      </c>
      <c r="C38" t="s">
        <v>51</v>
      </c>
      <c r="D38" t="s">
        <v>70</v>
      </c>
      <c r="E38" t="s">
        <v>71</v>
      </c>
      <c r="F38" t="s">
        <v>88</v>
      </c>
      <c r="G38" s="15">
        <v>2</v>
      </c>
    </row>
    <row r="39" spans="1:7" x14ac:dyDescent="0.3">
      <c r="A39" s="18">
        <v>37</v>
      </c>
      <c r="B39" t="s">
        <v>95</v>
      </c>
      <c r="C39" t="s">
        <v>51</v>
      </c>
      <c r="D39" t="s">
        <v>70</v>
      </c>
      <c r="E39" t="s">
        <v>71</v>
      </c>
      <c r="F39" t="s">
        <v>88</v>
      </c>
      <c r="G39" s="15">
        <v>2</v>
      </c>
    </row>
    <row r="40" spans="1:7" x14ac:dyDescent="0.3">
      <c r="A40" s="18">
        <v>38</v>
      </c>
      <c r="B40" t="s">
        <v>96</v>
      </c>
      <c r="C40" t="s">
        <v>51</v>
      </c>
      <c r="D40" t="s">
        <v>70</v>
      </c>
      <c r="E40" t="s">
        <v>71</v>
      </c>
      <c r="F40" t="s">
        <v>88</v>
      </c>
      <c r="G40" s="15">
        <v>2</v>
      </c>
    </row>
    <row r="41" spans="1:7" x14ac:dyDescent="0.3">
      <c r="A41" s="18">
        <v>39</v>
      </c>
      <c r="B41" t="s">
        <v>97</v>
      </c>
      <c r="C41" t="s">
        <v>98</v>
      </c>
      <c r="D41" t="s">
        <v>99</v>
      </c>
      <c r="E41" t="s">
        <v>84</v>
      </c>
      <c r="F41" t="s">
        <v>100</v>
      </c>
      <c r="G41" s="15">
        <v>2</v>
      </c>
    </row>
    <row r="42" spans="1:7" x14ac:dyDescent="0.3">
      <c r="A42" s="18">
        <v>40</v>
      </c>
      <c r="B42" t="s">
        <v>101</v>
      </c>
      <c r="C42" t="s">
        <v>98</v>
      </c>
      <c r="D42" t="s">
        <v>99</v>
      </c>
      <c r="E42" t="s">
        <v>84</v>
      </c>
      <c r="F42" t="s">
        <v>57</v>
      </c>
      <c r="G42" s="15">
        <v>1</v>
      </c>
    </row>
    <row r="43" spans="1:7" x14ac:dyDescent="0.3">
      <c r="A43" s="18">
        <v>41</v>
      </c>
      <c r="B43" t="s">
        <v>64</v>
      </c>
      <c r="C43" t="s">
        <v>102</v>
      </c>
      <c r="D43" t="s">
        <v>99</v>
      </c>
      <c r="E43" t="s">
        <v>103</v>
      </c>
      <c r="G43" s="15">
        <v>2</v>
      </c>
    </row>
    <row r="44" spans="1:7" x14ac:dyDescent="0.3">
      <c r="A44" s="18">
        <v>42</v>
      </c>
      <c r="B44" t="s">
        <v>105</v>
      </c>
      <c r="C44" t="s">
        <v>106</v>
      </c>
      <c r="D44" t="s">
        <v>99</v>
      </c>
      <c r="E44" t="s">
        <v>107</v>
      </c>
      <c r="G44" s="15">
        <v>3</v>
      </c>
    </row>
    <row r="45" spans="1:7" x14ac:dyDescent="0.3">
      <c r="A45" s="18">
        <v>43</v>
      </c>
      <c r="B45" t="s">
        <v>109</v>
      </c>
      <c r="C45" t="s">
        <v>106</v>
      </c>
      <c r="D45" t="s">
        <v>110</v>
      </c>
      <c r="E45" t="s">
        <v>111</v>
      </c>
      <c r="F45" t="s">
        <v>104</v>
      </c>
      <c r="G45" s="15">
        <v>3</v>
      </c>
    </row>
    <row r="46" spans="1:7" x14ac:dyDescent="0.3">
      <c r="A46" s="18">
        <v>44</v>
      </c>
      <c r="B46" t="s">
        <v>113</v>
      </c>
      <c r="C46" t="s">
        <v>106</v>
      </c>
      <c r="D46" t="s">
        <v>36</v>
      </c>
      <c r="E46" t="s">
        <v>114</v>
      </c>
      <c r="F46" t="s">
        <v>108</v>
      </c>
      <c r="G46" s="15">
        <v>3</v>
      </c>
    </row>
    <row r="47" spans="1:7" x14ac:dyDescent="0.3">
      <c r="A47" s="18">
        <v>45</v>
      </c>
      <c r="B47" t="s">
        <v>116</v>
      </c>
      <c r="C47" t="s">
        <v>106</v>
      </c>
      <c r="D47" t="s">
        <v>117</v>
      </c>
      <c r="E47" t="s">
        <v>118</v>
      </c>
      <c r="F47" t="s">
        <v>112</v>
      </c>
      <c r="G47" s="15">
        <v>3</v>
      </c>
    </row>
    <row r="48" spans="1:7" x14ac:dyDescent="0.3">
      <c r="A48" s="18">
        <v>46</v>
      </c>
      <c r="B48" t="s">
        <v>119</v>
      </c>
      <c r="C48" t="s">
        <v>106</v>
      </c>
      <c r="D48" t="s">
        <v>120</v>
      </c>
      <c r="E48" t="s">
        <v>103</v>
      </c>
      <c r="F48" t="s">
        <v>115</v>
      </c>
      <c r="G48" s="15">
        <v>3</v>
      </c>
    </row>
    <row r="49" spans="1:7" x14ac:dyDescent="0.3">
      <c r="A49" s="18">
        <v>47</v>
      </c>
      <c r="B49" t="s">
        <v>74</v>
      </c>
      <c r="C49" t="s">
        <v>102</v>
      </c>
      <c r="D49" t="s">
        <v>99</v>
      </c>
      <c r="E49" t="s">
        <v>103</v>
      </c>
      <c r="G49" s="15">
        <v>2</v>
      </c>
    </row>
    <row r="50" spans="1:7" x14ac:dyDescent="0.3">
      <c r="A50" s="18">
        <v>48</v>
      </c>
      <c r="B50" t="s">
        <v>122</v>
      </c>
      <c r="C50" t="s">
        <v>106</v>
      </c>
      <c r="D50" t="s">
        <v>99</v>
      </c>
      <c r="E50" t="s">
        <v>107</v>
      </c>
      <c r="G50" s="15">
        <v>3</v>
      </c>
    </row>
    <row r="51" spans="1:7" x14ac:dyDescent="0.3">
      <c r="A51" s="18">
        <v>49</v>
      </c>
      <c r="B51" t="s">
        <v>124</v>
      </c>
      <c r="C51" t="s">
        <v>106</v>
      </c>
      <c r="D51" t="s">
        <v>110</v>
      </c>
      <c r="E51" t="s">
        <v>111</v>
      </c>
      <c r="F51" t="s">
        <v>121</v>
      </c>
      <c r="G51" s="15">
        <v>3</v>
      </c>
    </row>
    <row r="52" spans="1:7" x14ac:dyDescent="0.3">
      <c r="A52" s="18">
        <v>50</v>
      </c>
      <c r="B52" t="s">
        <v>126</v>
      </c>
      <c r="C52" t="s">
        <v>106</v>
      </c>
      <c r="D52" t="s">
        <v>36</v>
      </c>
      <c r="E52" t="s">
        <v>114</v>
      </c>
      <c r="F52" t="s">
        <v>123</v>
      </c>
      <c r="G52" s="15">
        <v>3</v>
      </c>
    </row>
    <row r="53" spans="1:7" x14ac:dyDescent="0.3">
      <c r="A53" s="18">
        <v>51</v>
      </c>
      <c r="B53" t="s">
        <v>128</v>
      </c>
      <c r="C53" t="s">
        <v>106</v>
      </c>
      <c r="D53" t="s">
        <v>117</v>
      </c>
      <c r="E53" t="s">
        <v>118</v>
      </c>
      <c r="F53" t="s">
        <v>125</v>
      </c>
      <c r="G53" s="15">
        <v>3</v>
      </c>
    </row>
    <row r="54" spans="1:7" x14ac:dyDescent="0.3">
      <c r="A54" s="18">
        <v>52</v>
      </c>
      <c r="B54" t="s">
        <v>129</v>
      </c>
      <c r="C54" t="s">
        <v>106</v>
      </c>
      <c r="D54" t="s">
        <v>120</v>
      </c>
      <c r="E54" t="s">
        <v>103</v>
      </c>
      <c r="F54" t="s">
        <v>127</v>
      </c>
      <c r="G54" s="15">
        <v>3</v>
      </c>
    </row>
    <row r="55" spans="1:7" x14ac:dyDescent="0.3">
      <c r="A55" s="18">
        <v>53</v>
      </c>
      <c r="B55" t="s">
        <v>130</v>
      </c>
      <c r="C55" t="s">
        <v>131</v>
      </c>
      <c r="D55" t="s">
        <v>99</v>
      </c>
      <c r="E55" t="s">
        <v>132</v>
      </c>
      <c r="G55" s="15">
        <v>3</v>
      </c>
    </row>
    <row r="56" spans="1:7" x14ac:dyDescent="0.3">
      <c r="A56" s="18">
        <v>54</v>
      </c>
      <c r="B56" t="s">
        <v>133</v>
      </c>
      <c r="C56" t="s">
        <v>106</v>
      </c>
      <c r="D56" t="s">
        <v>120</v>
      </c>
      <c r="E56" t="s">
        <v>103</v>
      </c>
      <c r="F56" t="s">
        <v>134</v>
      </c>
      <c r="G56" s="15">
        <v>3</v>
      </c>
    </row>
    <row r="57" spans="1:7" x14ac:dyDescent="0.3">
      <c r="A57" s="18">
        <v>55</v>
      </c>
      <c r="B57" t="s">
        <v>135</v>
      </c>
      <c r="C57" t="s">
        <v>51</v>
      </c>
      <c r="D57" t="s">
        <v>136</v>
      </c>
      <c r="E57" t="s">
        <v>84</v>
      </c>
      <c r="F57" t="s">
        <v>137</v>
      </c>
      <c r="G57" s="15">
        <v>2</v>
      </c>
    </row>
    <row r="58" spans="1:7" x14ac:dyDescent="0.3">
      <c r="A58" s="18">
        <v>56</v>
      </c>
      <c r="B58" t="s">
        <v>139</v>
      </c>
      <c r="C58" t="s">
        <v>51</v>
      </c>
      <c r="D58" t="s">
        <v>140</v>
      </c>
      <c r="E58" t="s">
        <v>9</v>
      </c>
      <c r="F58" t="s">
        <v>141</v>
      </c>
      <c r="G58" s="15">
        <v>1</v>
      </c>
    </row>
    <row r="59" spans="1:7" x14ac:dyDescent="0.3">
      <c r="A59" s="18">
        <v>57</v>
      </c>
      <c r="B59" t="s">
        <v>142</v>
      </c>
      <c r="C59" t="s">
        <v>10</v>
      </c>
      <c r="D59" t="s">
        <v>9</v>
      </c>
      <c r="E59" t="s">
        <v>9</v>
      </c>
      <c r="F59" t="s">
        <v>138</v>
      </c>
      <c r="G59" s="15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BC20-6F7E-4B17-89CC-040ED8288612}">
  <sheetPr>
    <pageSetUpPr fitToPage="1"/>
  </sheetPr>
  <dimension ref="A1:R16"/>
  <sheetViews>
    <sheetView tabSelected="1" zoomScaleNormal="100" workbookViewId="0">
      <selection activeCell="I8" sqref="I8"/>
    </sheetView>
  </sheetViews>
  <sheetFormatPr defaultRowHeight="14.4" x14ac:dyDescent="0.3"/>
  <cols>
    <col min="1" max="1" width="4.109375" bestFit="1" customWidth="1"/>
    <col min="2" max="2" width="32.33203125" customWidth="1"/>
    <col min="3" max="3" width="29.88671875" bestFit="1" customWidth="1"/>
    <col min="4" max="4" width="12" customWidth="1"/>
    <col min="5" max="5" width="8.44140625" bestFit="1" customWidth="1"/>
    <col min="6" max="6" width="10.44140625" customWidth="1"/>
    <col min="7" max="7" width="22.44140625" customWidth="1"/>
    <col min="8" max="8" width="24.88671875" customWidth="1"/>
    <col min="9" max="9" width="27.5546875" customWidth="1"/>
    <col min="10" max="10" width="12.88671875" style="17" customWidth="1"/>
    <col min="11" max="11" width="21.33203125" customWidth="1"/>
    <col min="12" max="12" width="11.44140625" customWidth="1"/>
  </cols>
  <sheetData>
    <row r="1" spans="1:18" ht="28.8" x14ac:dyDescent="0.3">
      <c r="A1" s="2" t="s">
        <v>143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151</v>
      </c>
      <c r="I1" s="2" t="s">
        <v>150</v>
      </c>
      <c r="J1" s="2" t="s">
        <v>234</v>
      </c>
      <c r="K1" s="2" t="s">
        <v>152</v>
      </c>
      <c r="L1" s="2" t="s">
        <v>153</v>
      </c>
      <c r="O1" s="2"/>
      <c r="P1" s="2"/>
      <c r="Q1" s="2"/>
      <c r="R1" s="2"/>
    </row>
    <row r="2" spans="1:18" ht="43.2" x14ac:dyDescent="0.3">
      <c r="A2" s="3" t="s">
        <v>154</v>
      </c>
      <c r="B2" s="4" t="s">
        <v>155</v>
      </c>
      <c r="C2" s="4" t="s">
        <v>50</v>
      </c>
      <c r="D2" s="1">
        <v>3</v>
      </c>
      <c r="E2" s="1">
        <v>5</v>
      </c>
      <c r="F2" s="1">
        <f>E2*D2</f>
        <v>15</v>
      </c>
      <c r="G2" s="4" t="s">
        <v>156</v>
      </c>
      <c r="H2" s="4" t="s">
        <v>158</v>
      </c>
      <c r="I2" s="4" t="s">
        <v>157</v>
      </c>
      <c r="J2" s="21" t="s">
        <v>235</v>
      </c>
      <c r="K2" s="4" t="s">
        <v>237</v>
      </c>
      <c r="L2" s="1" t="s">
        <v>159</v>
      </c>
      <c r="O2" s="3"/>
      <c r="P2" s="3"/>
      <c r="Q2" s="20"/>
      <c r="R2" s="3"/>
    </row>
    <row r="3" spans="1:18" ht="28.8" x14ac:dyDescent="0.3">
      <c r="A3" s="3" t="s">
        <v>160</v>
      </c>
      <c r="B3" s="4" t="s">
        <v>161</v>
      </c>
      <c r="C3" s="4" t="s">
        <v>50</v>
      </c>
      <c r="D3" s="1">
        <v>2</v>
      </c>
      <c r="E3" s="1">
        <v>3</v>
      </c>
      <c r="F3" s="1">
        <f t="shared" ref="F3:F13" si="0">E3*D3</f>
        <v>6</v>
      </c>
      <c r="G3" s="4" t="s">
        <v>162</v>
      </c>
      <c r="H3" s="4" t="s">
        <v>164</v>
      </c>
      <c r="I3" s="4" t="s">
        <v>163</v>
      </c>
      <c r="J3" s="21" t="s">
        <v>236</v>
      </c>
      <c r="K3" s="4" t="s">
        <v>239</v>
      </c>
      <c r="L3" s="1" t="s">
        <v>159</v>
      </c>
      <c r="O3" s="3"/>
      <c r="P3" s="3"/>
      <c r="Q3" s="20"/>
      <c r="R3" s="3"/>
    </row>
    <row r="4" spans="1:18" ht="43.2" x14ac:dyDescent="0.3">
      <c r="A4" s="3" t="s">
        <v>165</v>
      </c>
      <c r="B4" s="4" t="s">
        <v>166</v>
      </c>
      <c r="C4" s="4" t="s">
        <v>167</v>
      </c>
      <c r="D4" s="1">
        <v>3</v>
      </c>
      <c r="E4" s="1">
        <v>5</v>
      </c>
      <c r="F4" s="1">
        <f t="shared" si="0"/>
        <v>15</v>
      </c>
      <c r="G4" s="4" t="s">
        <v>168</v>
      </c>
      <c r="H4" s="4" t="s">
        <v>170</v>
      </c>
      <c r="I4" s="4" t="s">
        <v>169</v>
      </c>
      <c r="J4" s="21" t="s">
        <v>236</v>
      </c>
      <c r="K4" s="4" t="s">
        <v>237</v>
      </c>
      <c r="L4" s="1" t="s">
        <v>159</v>
      </c>
      <c r="N4" t="s">
        <v>221</v>
      </c>
      <c r="O4" s="3"/>
      <c r="P4" s="3"/>
      <c r="Q4" s="20"/>
      <c r="R4" s="3"/>
    </row>
    <row r="5" spans="1:18" ht="43.2" x14ac:dyDescent="0.3">
      <c r="A5" s="3" t="s">
        <v>171</v>
      </c>
      <c r="B5" s="4" t="s">
        <v>172</v>
      </c>
      <c r="C5" s="4" t="s">
        <v>173</v>
      </c>
      <c r="D5" s="1">
        <v>3</v>
      </c>
      <c r="E5" s="1">
        <v>4</v>
      </c>
      <c r="F5" s="1">
        <f t="shared" si="0"/>
        <v>12</v>
      </c>
      <c r="G5" s="4" t="s">
        <v>174</v>
      </c>
      <c r="H5" s="4" t="s">
        <v>176</v>
      </c>
      <c r="I5" s="4" t="s">
        <v>175</v>
      </c>
      <c r="J5" s="21" t="s">
        <v>236</v>
      </c>
      <c r="K5" s="4" t="s">
        <v>239</v>
      </c>
      <c r="L5" s="1" t="s">
        <v>159</v>
      </c>
      <c r="O5" s="3"/>
      <c r="P5" s="3"/>
      <c r="Q5" s="20"/>
      <c r="R5" s="3"/>
    </row>
    <row r="6" spans="1:18" ht="28.8" x14ac:dyDescent="0.3">
      <c r="A6" s="3" t="s">
        <v>177</v>
      </c>
      <c r="B6" s="4" t="s">
        <v>178</v>
      </c>
      <c r="C6" s="4" t="s">
        <v>74</v>
      </c>
      <c r="D6" s="1">
        <v>4</v>
      </c>
      <c r="E6" s="1">
        <v>4</v>
      </c>
      <c r="F6" s="1">
        <f t="shared" si="0"/>
        <v>16</v>
      </c>
      <c r="G6" s="4" t="s">
        <v>179</v>
      </c>
      <c r="H6" s="4" t="s">
        <v>181</v>
      </c>
      <c r="I6" s="4" t="s">
        <v>180</v>
      </c>
      <c r="J6" s="21" t="s">
        <v>236</v>
      </c>
      <c r="K6" s="4" t="s">
        <v>238</v>
      </c>
      <c r="L6" s="1" t="s">
        <v>159</v>
      </c>
      <c r="O6" s="3"/>
      <c r="P6" s="3"/>
      <c r="Q6" s="20"/>
      <c r="R6" s="3"/>
    </row>
    <row r="7" spans="1:18" ht="43.2" x14ac:dyDescent="0.3">
      <c r="A7" s="3" t="s">
        <v>182</v>
      </c>
      <c r="B7" s="4" t="s">
        <v>183</v>
      </c>
      <c r="C7" s="4" t="s">
        <v>184</v>
      </c>
      <c r="D7" s="1">
        <v>4</v>
      </c>
      <c r="E7" s="1">
        <v>5</v>
      </c>
      <c r="F7" s="1">
        <f t="shared" si="0"/>
        <v>20</v>
      </c>
      <c r="G7" s="4" t="s">
        <v>185</v>
      </c>
      <c r="H7" s="4" t="s">
        <v>187</v>
      </c>
      <c r="I7" s="4" t="s">
        <v>186</v>
      </c>
      <c r="J7" s="21" t="s">
        <v>235</v>
      </c>
      <c r="K7" s="4" t="s">
        <v>241</v>
      </c>
      <c r="L7" s="1" t="s">
        <v>188</v>
      </c>
      <c r="O7" s="3"/>
      <c r="P7" s="3"/>
      <c r="Q7" s="20"/>
      <c r="R7" s="3"/>
    </row>
    <row r="8" spans="1:18" ht="43.2" x14ac:dyDescent="0.3">
      <c r="A8" s="3" t="s">
        <v>189</v>
      </c>
      <c r="B8" s="4" t="s">
        <v>190</v>
      </c>
      <c r="C8" s="4" t="s">
        <v>135</v>
      </c>
      <c r="D8" s="1">
        <v>3</v>
      </c>
      <c r="E8" s="1">
        <v>5</v>
      </c>
      <c r="F8" s="1">
        <f t="shared" si="0"/>
        <v>15</v>
      </c>
      <c r="G8" s="4" t="s">
        <v>191</v>
      </c>
      <c r="H8" s="4" t="s">
        <v>193</v>
      </c>
      <c r="I8" s="4" t="s">
        <v>192</v>
      </c>
      <c r="J8" s="21" t="s">
        <v>236</v>
      </c>
      <c r="K8" s="4" t="s">
        <v>240</v>
      </c>
      <c r="L8" s="1" t="s">
        <v>159</v>
      </c>
      <c r="O8" s="3"/>
      <c r="P8" s="3"/>
      <c r="Q8" s="20"/>
      <c r="R8" s="3"/>
    </row>
    <row r="9" spans="1:18" ht="28.8" x14ac:dyDescent="0.3">
      <c r="A9" s="3" t="s">
        <v>194</v>
      </c>
      <c r="B9" s="4" t="s">
        <v>195</v>
      </c>
      <c r="C9" s="4" t="s">
        <v>119</v>
      </c>
      <c r="D9" s="1">
        <v>3</v>
      </c>
      <c r="E9" s="1">
        <v>4</v>
      </c>
      <c r="F9" s="1">
        <f t="shared" si="0"/>
        <v>12</v>
      </c>
      <c r="G9" s="4" t="s">
        <v>196</v>
      </c>
      <c r="H9" s="4" t="s">
        <v>198</v>
      </c>
      <c r="I9" s="4" t="s">
        <v>197</v>
      </c>
      <c r="J9" s="21" t="s">
        <v>236</v>
      </c>
      <c r="K9" s="4" t="s">
        <v>242</v>
      </c>
      <c r="L9" s="1" t="s">
        <v>159</v>
      </c>
      <c r="O9" s="3"/>
      <c r="P9" s="3"/>
      <c r="Q9" s="20"/>
      <c r="R9" s="3"/>
    </row>
    <row r="10" spans="1:18" ht="43.2" x14ac:dyDescent="0.3">
      <c r="A10" s="3" t="s">
        <v>199</v>
      </c>
      <c r="B10" s="4" t="s">
        <v>200</v>
      </c>
      <c r="C10" s="4" t="s">
        <v>81</v>
      </c>
      <c r="D10" s="1">
        <v>4</v>
      </c>
      <c r="E10" s="1">
        <v>3</v>
      </c>
      <c r="F10" s="1">
        <f t="shared" si="0"/>
        <v>12</v>
      </c>
      <c r="G10" s="4" t="s">
        <v>201</v>
      </c>
      <c r="H10" s="4" t="s">
        <v>203</v>
      </c>
      <c r="I10" s="4" t="s">
        <v>202</v>
      </c>
      <c r="J10" s="21" t="s">
        <v>236</v>
      </c>
      <c r="K10" s="4" t="s">
        <v>241</v>
      </c>
      <c r="L10" s="1" t="s">
        <v>159</v>
      </c>
      <c r="O10" s="3"/>
      <c r="P10" s="3"/>
      <c r="Q10" s="20"/>
      <c r="R10" s="3"/>
    </row>
    <row r="11" spans="1:18" ht="43.2" x14ac:dyDescent="0.3">
      <c r="A11" s="3" t="s">
        <v>204</v>
      </c>
      <c r="B11" s="4" t="s">
        <v>205</v>
      </c>
      <c r="C11" s="4" t="s">
        <v>206</v>
      </c>
      <c r="D11" s="1">
        <v>3</v>
      </c>
      <c r="E11" s="1">
        <v>5</v>
      </c>
      <c r="F11" s="1">
        <f t="shared" si="0"/>
        <v>15</v>
      </c>
      <c r="G11" s="4" t="s">
        <v>207</v>
      </c>
      <c r="H11" s="4" t="s">
        <v>209</v>
      </c>
      <c r="I11" s="4" t="s">
        <v>208</v>
      </c>
      <c r="J11" s="21" t="s">
        <v>236</v>
      </c>
      <c r="K11" s="4" t="s">
        <v>237</v>
      </c>
      <c r="L11" s="1" t="s">
        <v>159</v>
      </c>
      <c r="O11" s="3"/>
      <c r="P11" s="3"/>
      <c r="Q11" s="20"/>
      <c r="R11" s="3"/>
    </row>
    <row r="12" spans="1:18" ht="43.2" x14ac:dyDescent="0.3">
      <c r="A12" s="3" t="s">
        <v>210</v>
      </c>
      <c r="B12" s="4" t="s">
        <v>211</v>
      </c>
      <c r="C12" s="4" t="s">
        <v>101</v>
      </c>
      <c r="D12" s="1">
        <v>3</v>
      </c>
      <c r="E12" s="1">
        <v>4</v>
      </c>
      <c r="F12" s="1">
        <f t="shared" si="0"/>
        <v>12</v>
      </c>
      <c r="G12" s="4" t="s">
        <v>212</v>
      </c>
      <c r="H12" s="4" t="s">
        <v>214</v>
      </c>
      <c r="I12" s="4" t="s">
        <v>213</v>
      </c>
      <c r="J12" s="21" t="s">
        <v>236</v>
      </c>
      <c r="K12" s="4" t="s">
        <v>237</v>
      </c>
      <c r="L12" s="1" t="s">
        <v>159</v>
      </c>
      <c r="O12" s="3"/>
      <c r="P12" s="3"/>
      <c r="Q12" s="20"/>
      <c r="R12" s="3"/>
    </row>
    <row r="13" spans="1:18" ht="43.2" x14ac:dyDescent="0.3">
      <c r="A13" s="3" t="s">
        <v>215</v>
      </c>
      <c r="B13" s="4" t="s">
        <v>216</v>
      </c>
      <c r="C13" s="4" t="s">
        <v>217</v>
      </c>
      <c r="D13" s="1">
        <v>2</v>
      </c>
      <c r="E13" s="1">
        <v>5</v>
      </c>
      <c r="F13" s="1">
        <f t="shared" si="0"/>
        <v>10</v>
      </c>
      <c r="G13" s="4" t="s">
        <v>218</v>
      </c>
      <c r="H13" s="4" t="s">
        <v>220</v>
      </c>
      <c r="I13" s="4" t="s">
        <v>219</v>
      </c>
      <c r="J13" s="21" t="s">
        <v>236</v>
      </c>
      <c r="K13" s="4" t="s">
        <v>241</v>
      </c>
      <c r="L13" s="1" t="s">
        <v>159</v>
      </c>
      <c r="O13" s="3"/>
      <c r="P13" s="3"/>
      <c r="Q13" s="20"/>
      <c r="R13" s="3"/>
    </row>
    <row r="14" spans="1:18" x14ac:dyDescent="0.3">
      <c r="K14" s="4"/>
    </row>
    <row r="15" spans="1:18" x14ac:dyDescent="0.3">
      <c r="K15" s="4"/>
    </row>
    <row r="16" spans="1:18" x14ac:dyDescent="0.3">
      <c r="K16" s="4"/>
    </row>
  </sheetData>
  <conditionalFormatting sqref="F2:F13">
    <cfRule type="colorScale" priority="1">
      <colorScale>
        <cfvo type="num" val="1"/>
        <cfvo type="percentile" val="50"/>
        <cfvo type="num" val="25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:F18">
    <cfRule type="colorScale" priority="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23622047244094491" right="0.23622047244094491" top="0.74803149606299213" bottom="0.74803149606299213" header="0.31496062992125984" footer="0.31496062992125984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C0C9-F97B-4C1D-942F-BAC2702ABDB2}">
  <sheetPr>
    <pageSetUpPr fitToPage="1"/>
  </sheetPr>
  <dimension ref="A1:L6"/>
  <sheetViews>
    <sheetView tabSelected="1" workbookViewId="0">
      <selection activeCell="I8" sqref="I8"/>
    </sheetView>
  </sheetViews>
  <sheetFormatPr defaultRowHeight="14.4" x14ac:dyDescent="0.3"/>
  <cols>
    <col min="1" max="6" width="20.77734375" customWidth="1"/>
  </cols>
  <sheetData>
    <row r="1" spans="1:12" ht="49.95" customHeight="1" x14ac:dyDescent="0.3">
      <c r="A1" s="2" t="s">
        <v>222</v>
      </c>
      <c r="B1" s="2" t="s">
        <v>228</v>
      </c>
      <c r="C1" s="2" t="s">
        <v>229</v>
      </c>
      <c r="D1" s="2" t="s">
        <v>230</v>
      </c>
      <c r="E1" s="2" t="s">
        <v>232</v>
      </c>
      <c r="F1" s="2" t="s">
        <v>231</v>
      </c>
    </row>
    <row r="2" spans="1:12" ht="49.95" customHeight="1" x14ac:dyDescent="0.3">
      <c r="A2" s="2" t="s">
        <v>227</v>
      </c>
      <c r="B2" s="5">
        <v>5</v>
      </c>
      <c r="C2" s="5">
        <v>10</v>
      </c>
      <c r="D2" s="5">
        <v>15</v>
      </c>
      <c r="E2" s="5">
        <v>20</v>
      </c>
      <c r="F2" s="5">
        <v>25</v>
      </c>
    </row>
    <row r="3" spans="1:12" ht="49.95" customHeight="1" x14ac:dyDescent="0.3">
      <c r="A3" s="2" t="s">
        <v>226</v>
      </c>
      <c r="B3" s="5">
        <v>4</v>
      </c>
      <c r="C3" s="5">
        <v>8</v>
      </c>
      <c r="D3" s="6">
        <v>12</v>
      </c>
      <c r="E3" s="7">
        <v>16</v>
      </c>
      <c r="F3" s="9">
        <v>20</v>
      </c>
      <c r="J3" s="3"/>
      <c r="K3" s="3"/>
      <c r="L3" s="3"/>
    </row>
    <row r="4" spans="1:12" ht="49.95" customHeight="1" x14ac:dyDescent="0.3">
      <c r="A4" s="2" t="s">
        <v>225</v>
      </c>
      <c r="B4" s="5">
        <v>3</v>
      </c>
      <c r="C4" s="5">
        <v>6</v>
      </c>
      <c r="D4" s="8">
        <v>9</v>
      </c>
      <c r="E4" s="10">
        <v>12</v>
      </c>
      <c r="F4" s="11">
        <v>15</v>
      </c>
      <c r="J4" s="3"/>
      <c r="K4" s="3"/>
      <c r="L4" s="3"/>
    </row>
    <row r="5" spans="1:12" ht="49.95" customHeight="1" x14ac:dyDescent="0.3">
      <c r="A5" s="2" t="s">
        <v>224</v>
      </c>
      <c r="B5" s="5">
        <v>2</v>
      </c>
      <c r="C5" s="5">
        <v>4</v>
      </c>
      <c r="D5" s="13">
        <v>6</v>
      </c>
      <c r="E5" s="8">
        <v>8</v>
      </c>
      <c r="F5" s="12">
        <v>10</v>
      </c>
      <c r="J5" s="3"/>
      <c r="K5" s="3"/>
      <c r="L5" s="3"/>
    </row>
    <row r="6" spans="1:12" ht="49.95" customHeight="1" x14ac:dyDescent="0.3">
      <c r="A6" s="2" t="s">
        <v>223</v>
      </c>
      <c r="B6" s="5">
        <v>1</v>
      </c>
      <c r="C6" s="5">
        <v>2</v>
      </c>
      <c r="D6" s="5">
        <v>3</v>
      </c>
      <c r="E6" s="5">
        <v>4</v>
      </c>
      <c r="F6" s="5">
        <v>5</v>
      </c>
    </row>
  </sheetData>
  <conditionalFormatting sqref="B2:F2 B6:F6 B3:C5 J3:L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Таблица задач</vt:lpstr>
      <vt:lpstr>Таблица рисков</vt:lpstr>
      <vt:lpstr>Матрица рисков</vt:lpstr>
      <vt:lpstr>Таблица_задач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GarGosha</dc:creator>
  <cp:lastModifiedBy>гареев георгий</cp:lastModifiedBy>
  <cp:lastPrinted>2026-03-16T14:35:30Z</cp:lastPrinted>
  <dcterms:created xsi:type="dcterms:W3CDTF">2026-03-15T13:04:23Z</dcterms:created>
  <dcterms:modified xsi:type="dcterms:W3CDTF">2026-03-16T14:35:31Z</dcterms:modified>
</cp:coreProperties>
</file>